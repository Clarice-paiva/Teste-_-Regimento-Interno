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Quadro de Riscos" sheetId="2" state="visible" r:id="rId2"/>
    <sheet xmlns:r="http://schemas.openxmlformats.org/officeDocument/2006/relationships" name="Critérios" sheetId="3" state="visible" r:id="rId3"/>
    <sheet xmlns:r="http://schemas.openxmlformats.org/officeDocument/2006/relationships" name="Matriz de Riscos" sheetId="4" state="visible" r:id="rId4"/>
  </sheets>
  <definedNames>
    <definedName name="_xlnm._FilterDatabase" localSheetId="1" hidden="1">'Quadro de Riscos'!$A$3:$Q$18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00000"/>
      <sz val="13"/>
    </font>
    <font>
      <b val="1"/>
      <color rgb="00C00000"/>
      <sz val="11"/>
    </font>
    <font>
      <b val="1"/>
      <color rgb="00000000"/>
      <sz val="11"/>
    </font>
    <font>
      <b val="1"/>
      <sz val="12"/>
    </font>
    <font>
      <b val="1"/>
      <color rgb="00FFFFFF"/>
    </font>
    <font>
      <b val="1"/>
      <sz val="14"/>
    </font>
    <font>
      <i val="1"/>
      <color rgb="00C00000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4B183"/>
      </patternFill>
    </fill>
    <fill>
      <patternFill patternType="solid">
        <fgColor rgb="00FF7C8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2" borderId="1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8" fillId="0" borderId="0" pivotButton="0" quotePrefix="0" xfId="0"/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6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4B183"/>
          <bgColor rgb="00F4B183"/>
        </patternFill>
      </fill>
    </dxf>
    <dxf>
      <fill>
        <patternFill patternType="solid">
          <fgColor rgb="00FF7C80"/>
          <bgColor rgb="00FF7C8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QUADRO DE RISCOS – CENTRAL</t>
        </is>
      </c>
    </row>
    <row r="2" ht="32" customHeight="1">
      <c r="A2" s="2" t="inlineStr">
        <is>
          <t>Transição governamental 2026 · Ofício SETRAM/GABSEC nº 838/2026 · Ofício nº 02/2026 da Equipe de Transição, item 7 (quadro de riscos)</t>
        </is>
      </c>
    </row>
    <row r="3" ht="32" customHeight="1">
      <c r="A3" s="2" t="inlineStr">
        <is>
          <t>Prazo de retorno informado no ofício: 28/10/2026</t>
        </is>
      </c>
    </row>
    <row r="4">
      <c r="A4" s="2" t="inlineStr"/>
    </row>
    <row r="5">
      <c r="A5" s="3" t="inlineStr">
        <is>
          <t>STATUS: RASCUNHO PARA VALIDAÇÃO PELA ASSGER</t>
        </is>
      </c>
    </row>
    <row r="6" ht="62" customHeight="1">
      <c r="A6" s="2" t="inlineStr">
        <is>
          <t>Os riscos, a probabilidade, o impacto, os responsáveis e as ações desta planilha são PROPOSTAS elaboradas a partir dos normativos da CENTRAL e dos ofícios da transição. Não houve entrevista com os gestores, que a Política de Gestão de Riscos (art. 23, I) prevê como forma de levantamento. Antes do envio, cada linha deve ser validada com a área responsável.</t>
        </is>
      </c>
    </row>
    <row r="7">
      <c r="A7" s="2" t="inlineStr"/>
    </row>
    <row r="8">
      <c r="A8" s="4" t="inlineStr">
        <is>
          <t>Base normativa</t>
        </is>
      </c>
    </row>
    <row r="9" ht="32" customHeight="1">
      <c r="A9" s="2" t="inlineStr">
        <is>
          <t>• Política de Gestão de Riscos, Conformidade e Controles Internos: categorias (art. 23, III), avaliação em baixo/médio/elevado/extremo (art. 20), tratamento evitar/mitigar/transferir/aceitar (arts. 21 e 26) e Matriz de Riscos (art. 25).</t>
        </is>
      </c>
    </row>
    <row r="10" ht="32" customHeight="1">
      <c r="A10" s="2" t="inlineStr">
        <is>
          <t>• Regimento Interno da CENTRAL, art. 18: competências da ASSGER, incisos XXI, XXV e XXVI.</t>
        </is>
      </c>
    </row>
    <row r="11" ht="32" customHeight="1">
      <c r="A11" s="2" t="inlineStr">
        <is>
          <t>• Lei nº 13.303/2016 e Decreto Estadual nº 46.188/2017.</t>
        </is>
      </c>
    </row>
    <row r="12">
      <c r="A12" s="2" t="inlineStr"/>
    </row>
    <row r="13">
      <c r="A13" s="4" t="inlineStr">
        <is>
          <t>Como usar</t>
        </is>
      </c>
    </row>
    <row r="14" ht="32" customHeight="1">
      <c r="A14" s="2" t="inlineStr">
        <is>
          <t>1. Aba 'Critérios': escalas de probabilidade e impacto. Os limites dos níveis são sugestão, pois a política não fixa os valores numéricos. Ajuste se a ASSGER já tiver um padrão.</t>
        </is>
      </c>
    </row>
    <row r="15" ht="32" customHeight="1">
      <c r="A15" s="2" t="inlineStr">
        <is>
          <t>2. Aba 'Quadro de Riscos': preencha ou ajuste as colunas amarelas. Score e Nível são calculados automaticamente.</t>
        </is>
      </c>
    </row>
    <row r="16" ht="32" customHeight="1">
      <c r="A16" s="2" t="inlineStr">
        <is>
          <t>3. Aba 'Matriz de Riscos': mapa de calor atualizado automaticamente a partir do quadro.</t>
        </is>
      </c>
    </row>
    <row r="17" ht="32" customHeight="1">
      <c r="A17" s="2" t="inlineStr">
        <is>
          <t>4. Colunas 'A validar' marcam o que depende de confirmação da área responsável.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2" customWidth="1" min="3" max="3"/>
    <col width="42" customWidth="1" min="4" max="4"/>
    <col width="38" customWidth="1" min="5" max="5"/>
    <col width="36" customWidth="1" min="6" max="6"/>
    <col width="40" customWidth="1" min="7" max="7"/>
    <col width="22" customWidth="1" min="8" max="8"/>
    <col width="8" customWidth="1" min="9" max="9"/>
    <col width="8" customWidth="1" min="10" max="10"/>
    <col width="8" customWidth="1" min="11" max="11"/>
    <col width="10" customWidth="1" min="12" max="12"/>
    <col width="12" customWidth="1" min="13" max="13"/>
    <col width="48" customWidth="1" min="14" max="14"/>
    <col width="22" customWidth="1" min="15" max="15"/>
    <col width="12" customWidth="1" min="16" max="16"/>
    <col width="11" customWidth="1" min="17" max="17"/>
  </cols>
  <sheetData>
    <row r="1">
      <c r="A1" s="5" t="inlineStr">
        <is>
          <t>QUADRO DE RISCOS DA CENTRAL – TRANSIÇÃO GOVERNAMENTAL 2026 (RASCUNHO PARA VALIDAÇÃO)</t>
        </is>
      </c>
    </row>
    <row r="2">
      <c r="A2" s="6" t="inlineStr">
        <is>
          <t>Probabilidade, impacto, controles, responsáveis e prazos são propostas e devem ser validados com as áreas gestoras antes do envio.</t>
        </is>
      </c>
    </row>
    <row r="3" ht="32" customHeight="1">
      <c r="A3" s="7" t="inlineStr">
        <is>
          <t>ID</t>
        </is>
      </c>
      <c r="B3" s="7" t="inlineStr">
        <is>
          <t>Categoria</t>
        </is>
      </c>
      <c r="C3" s="7" t="inlineStr">
        <is>
          <t>Processo / tema</t>
        </is>
      </c>
      <c r="D3" s="7" t="inlineStr">
        <is>
          <t>Evento de risco</t>
        </is>
      </c>
      <c r="E3" s="7" t="inlineStr">
        <is>
          <t>Causa / fonte</t>
        </is>
      </c>
      <c r="F3" s="7" t="inlineStr">
        <is>
          <t>Consequência / impacto</t>
        </is>
      </c>
      <c r="G3" s="7" t="inlineStr">
        <is>
          <t>Referência (origem da proposta)</t>
        </is>
      </c>
      <c r="H3" s="7" t="inlineStr">
        <is>
          <t>Controles existentes (A validar)</t>
        </is>
      </c>
      <c r="I3" s="7" t="inlineStr">
        <is>
          <t>Prob. (1-5)</t>
        </is>
      </c>
      <c r="J3" s="7" t="inlineStr">
        <is>
          <t>Impacto (1-5)</t>
        </is>
      </c>
      <c r="K3" s="7" t="inlineStr">
        <is>
          <t>Score</t>
        </is>
      </c>
      <c r="L3" s="7" t="inlineStr">
        <is>
          <t>Nível</t>
        </is>
      </c>
      <c r="M3" s="7" t="inlineStr">
        <is>
          <t>Tratamento</t>
        </is>
      </c>
      <c r="N3" s="7" t="inlineStr">
        <is>
          <t>Ação proposta (plano de ação)</t>
        </is>
      </c>
      <c r="O3" s="7" t="inlineStr">
        <is>
          <t>Responsável (A validar)</t>
        </is>
      </c>
      <c r="P3" s="7" t="inlineStr">
        <is>
          <t>Prazo (A validar)</t>
        </is>
      </c>
      <c r="Q3" s="7" t="inlineStr">
        <is>
          <t>Status</t>
        </is>
      </c>
    </row>
    <row r="4" ht="95" customHeight="1">
      <c r="A4" s="8" t="inlineStr">
        <is>
          <t>R01</t>
        </is>
      </c>
      <c r="B4" s="9" t="inlineStr">
        <is>
          <t>Estratégico</t>
        </is>
      </c>
      <c r="C4" s="9" t="inlineStr">
        <is>
          <t>Continuidade de programas e projetos</t>
        </is>
      </c>
      <c r="D4" s="9" t="inlineStr">
        <is>
          <t>Descontinuidade ou reprogramação de projetos e obras em curso na mudança de gestão</t>
        </is>
      </c>
      <c r="E4" s="9" t="inlineStr">
        <is>
          <t>Mudança de prioridades; falta de registro do estágio dos projetos; compromissos remanescentes não mapeados</t>
        </is>
      </c>
      <c r="F4" s="9" t="inlineStr">
        <is>
          <t>Atraso ou paralisação de projetos; perda de recursos já aplicados; desgaste institucional</t>
        </is>
      </c>
      <c r="G4" s="9" t="inlineStr">
        <is>
          <t>Ofício 02/2026 itens 2 e 3; Ofício 08/2026 itens 3 e 4; Estatuto, art. 3º</t>
        </is>
      </c>
      <c r="H4" s="10" t="inlineStr">
        <is>
          <t>A levantar com a área</t>
        </is>
      </c>
      <c r="I4" s="11" t="n">
        <v>3</v>
      </c>
      <c r="J4" s="11" t="n">
        <v>4</v>
      </c>
      <c r="K4" s="8">
        <f>I4*J4</f>
        <v/>
      </c>
      <c r="L4" s="8">
        <f>IF(K4&gt;=17,"Extremo",IF(K4&gt;=10,"Elevado",IF(K4&gt;=5,"Médio","Baixo")))</f>
        <v/>
      </c>
      <c r="M4" s="11" t="inlineStr">
        <is>
          <t>Mitigar</t>
        </is>
      </c>
      <c r="N4" s="9" t="inlineStr">
        <is>
          <t>Consolidar relatório de projetos com estágio, medição, compromissos e licenciamento; indicar decisões irreversíveis antes de abr/2027</t>
        </is>
      </c>
      <c r="O4" s="10" t="inlineStr">
        <is>
          <t>ASSPRIN / SUPLAN</t>
        </is>
      </c>
      <c r="P4" s="10" t="inlineStr">
        <is>
          <t>A definir</t>
        </is>
      </c>
      <c r="Q4" s="8" t="inlineStr">
        <is>
          <t>Proposta</t>
        </is>
      </c>
    </row>
    <row r="5" ht="95" customHeight="1">
      <c r="A5" s="8" t="inlineStr">
        <is>
          <t>R02</t>
        </is>
      </c>
      <c r="B5" s="9" t="inlineStr">
        <is>
          <t>Financeiro</t>
        </is>
      </c>
      <c r="C5" s="9" t="inlineStr">
        <is>
          <t>Execução orçamentária e financeira</t>
        </is>
      </c>
      <c r="D5" s="9" t="inlineStr">
        <is>
          <t>Contingenciamento de recursos pelo Estado para pagamento de pessoal, custeio ou capital</t>
        </is>
      </c>
      <c r="E5" s="9" t="inlineStr">
        <is>
          <t>Dependência de recursos do ente controlador; restrição fiscal</t>
        </is>
      </c>
      <c r="F5" s="9" t="inlineStr">
        <is>
          <t>Atraso em pagamentos a fornecedores e à folha; paralisação de contratos e obras</t>
        </is>
      </c>
      <c r="G5" s="9" t="inlineStr">
        <is>
          <t>Política de Gestão de Riscos, art. 23, III (Riscos Financeiros); Ofício 02/2026 item 8</t>
        </is>
      </c>
      <c r="H5" s="10" t="inlineStr">
        <is>
          <t>A levantar com a área</t>
        </is>
      </c>
      <c r="I5" s="11" t="n">
        <v>4</v>
      </c>
      <c r="J5" s="11" t="n">
        <v>4</v>
      </c>
      <c r="K5" s="8">
        <f>I5*J5</f>
        <v/>
      </c>
      <c r="L5" s="8">
        <f>IF(K5&gt;=17,"Extremo",IF(K5&gt;=10,"Elevado",IF(K5&gt;=5,"Médio","Baixo")))</f>
        <v/>
      </c>
      <c r="M5" s="11" t="inlineStr">
        <is>
          <t>Mitigar</t>
        </is>
      </c>
      <c r="N5" s="9" t="inlineStr">
        <is>
          <t>Priorizar despesas essenciais; dar visibilidade à programação por fonte e unidade orçamentária; plano de contingência financeira</t>
        </is>
      </c>
      <c r="O5" s="10" t="inlineStr">
        <is>
          <t>SUPFIC / GERORT</t>
        </is>
      </c>
      <c r="P5" s="10" t="inlineStr">
        <is>
          <t>A definir</t>
        </is>
      </c>
      <c r="Q5" s="8" t="inlineStr">
        <is>
          <t>Proposta</t>
        </is>
      </c>
    </row>
    <row r="6" ht="95" customHeight="1">
      <c r="A6" s="8" t="inlineStr">
        <is>
          <t>R03</t>
        </is>
      </c>
      <c r="B6" s="9" t="inlineStr">
        <is>
          <t>Financeiro</t>
        </is>
      </c>
      <c r="C6" s="9" t="inlineStr">
        <is>
          <t>Convênios e financiamentos</t>
        </is>
      </c>
      <c r="D6" s="9" t="inlineStr">
        <is>
          <t>Incerteza no recebimento de valores pactuados com órgãos de fomento, agentes financeiros ou convenentes</t>
        </is>
      </c>
      <c r="E6" s="9" t="inlineStr">
        <is>
          <t>Não cumprimento de condicionantes; atraso em prestação de contas; mudança de governo</t>
        </is>
      </c>
      <c r="F6" s="9" t="inlineStr">
        <is>
          <t>Perda de receita; devolução de recursos; interrupção de obras financiadas</t>
        </is>
      </c>
      <c r="G6" s="9" t="inlineStr">
        <is>
          <t>Política, art. 23, III; Ofício 08/2026 item 6</t>
        </is>
      </c>
      <c r="H6" s="10" t="inlineStr">
        <is>
          <t>A levantar com a área</t>
        </is>
      </c>
      <c r="I6" s="11" t="n">
        <v>3</v>
      </c>
      <c r="J6" s="11" t="n">
        <v>4</v>
      </c>
      <c r="K6" s="8">
        <f>I6*J6</f>
        <v/>
      </c>
      <c r="L6" s="8">
        <f>IF(K6&gt;=17,"Extremo",IF(K6&gt;=10,"Elevado",IF(K6&gt;=5,"Médio","Baixo")))</f>
        <v/>
      </c>
      <c r="M6" s="11" t="inlineStr">
        <is>
          <t>Mitigar</t>
        </is>
      </c>
      <c r="N6" s="9" t="inlineStr">
        <is>
          <t>Listar convênios e transferências com impacto recorrente; acompanhar prazos de prestação de contas e condicionantes</t>
        </is>
      </c>
      <c r="O6" s="10" t="inlineStr">
        <is>
          <t>SUPFIC / ASSPRIN</t>
        </is>
      </c>
      <c r="P6" s="10" t="inlineStr">
        <is>
          <t>A definir</t>
        </is>
      </c>
      <c r="Q6" s="8" t="inlineStr">
        <is>
          <t>Proposta</t>
        </is>
      </c>
    </row>
    <row r="7" ht="95" customHeight="1">
      <c r="A7" s="8" t="inlineStr">
        <is>
          <t>R04</t>
        </is>
      </c>
      <c r="B7" s="9" t="inlineStr">
        <is>
          <t>Financeiro</t>
        </is>
      </c>
      <c r="C7" s="9" t="inlineStr">
        <is>
          <t>Controles financeiros</t>
        </is>
      </c>
      <c r="D7" s="9" t="inlineStr">
        <is>
          <t>Controles ineficientes ou ausência de registro de movimentações financeiras</t>
        </is>
      </c>
      <c r="E7" s="9" t="inlineStr">
        <is>
          <t>Falhas de processo; segregação de funções insuficiente</t>
        </is>
      </c>
      <c r="F7" s="9" t="inlineStr">
        <is>
          <t>Erros contábeis; apontamentos de órgãos de controle; prejuízo</t>
        </is>
      </c>
      <c r="G7" s="9" t="inlineStr">
        <is>
          <t>Política, art. 23, III; Regimento, art. 18, XXIV</t>
        </is>
      </c>
      <c r="H7" s="10" t="inlineStr">
        <is>
          <t>A levantar com a área</t>
        </is>
      </c>
      <c r="I7" s="11" t="n">
        <v>2</v>
      </c>
      <c r="J7" s="11" t="n">
        <v>4</v>
      </c>
      <c r="K7" s="8">
        <f>I7*J7</f>
        <v/>
      </c>
      <c r="L7" s="8">
        <f>IF(K7&gt;=17,"Extremo",IF(K7&gt;=10,"Elevado",IF(K7&gt;=5,"Médio","Baixo")))</f>
        <v/>
      </c>
      <c r="M7" s="11" t="inlineStr">
        <is>
          <t>Mitigar</t>
        </is>
      </c>
      <c r="N7" s="9" t="inlineStr">
        <is>
          <t>Revisar a segregação de funções e os registros das movimentações; testar os controles críticos</t>
        </is>
      </c>
      <c r="O7" s="10" t="inlineStr">
        <is>
          <t>SUPFIC / ASSGER</t>
        </is>
      </c>
      <c r="P7" s="10" t="inlineStr">
        <is>
          <t>A definir</t>
        </is>
      </c>
      <c r="Q7" s="8" t="inlineStr">
        <is>
          <t>Proposta</t>
        </is>
      </c>
    </row>
    <row r="8" ht="95" customHeight="1">
      <c r="A8" s="8" t="inlineStr">
        <is>
          <t>R05</t>
        </is>
      </c>
      <c r="B8" s="9" t="inlineStr">
        <is>
          <t>Operacional</t>
        </is>
      </c>
      <c r="C8" s="9" t="inlineStr">
        <is>
          <t>Contratos e licitações</t>
        </is>
      </c>
      <c r="D8" s="9" t="inlineStr">
        <is>
          <t>Vencimento de contratos entre out/2026 e abr/2027 sem prorrogação ou nova contratação a tempo</t>
        </is>
      </c>
      <c r="E8" s="9" t="inlineStr">
        <is>
          <t>Planejamento da contratação tardio; ciclo de licitação mais longo que o prazo de vigência</t>
        </is>
      </c>
      <c r="F8" s="9" t="inlineStr">
        <is>
          <t>Descontinuidade de serviços essenciais; contratações emergenciais ou irregulares</t>
        </is>
      </c>
      <c r="G8" s="9" t="inlineStr">
        <is>
          <t>Ofício 06/2026 itens 1 a 3</t>
        </is>
      </c>
      <c r="H8" s="10" t="inlineStr">
        <is>
          <t>A levantar com a área</t>
        </is>
      </c>
      <c r="I8" s="11" t="n">
        <v>4</v>
      </c>
      <c r="J8" s="11" t="n">
        <v>4</v>
      </c>
      <c r="K8" s="8">
        <f>I8*J8</f>
        <v/>
      </c>
      <c r="L8" s="8">
        <f>IF(K8&gt;=17,"Extremo",IF(K8&gt;=10,"Elevado",IF(K8&gt;=5,"Médio","Baixo")))</f>
        <v/>
      </c>
      <c r="M8" s="11" t="inlineStr">
        <is>
          <t>Mitigar</t>
        </is>
      </c>
      <c r="N8" s="9" t="inlineStr">
        <is>
          <t>Mapear contratos que vencem no período e definir providências de continuidade (prorrogação, nova licitação) com cronograma</t>
        </is>
      </c>
      <c r="O8" s="10" t="inlineStr">
        <is>
          <t>GERLIC / SUPADM</t>
        </is>
      </c>
      <c r="P8" s="10" t="inlineStr">
        <is>
          <t>A definir</t>
        </is>
      </c>
      <c r="Q8" s="8" t="inlineStr">
        <is>
          <t>Proposta</t>
        </is>
      </c>
    </row>
    <row r="9" ht="95" customHeight="1">
      <c r="A9" s="8" t="inlineStr">
        <is>
          <t>R06</t>
        </is>
      </c>
      <c r="B9" s="9" t="inlineStr">
        <is>
          <t>Operacional</t>
        </is>
      </c>
      <c r="C9" s="9" t="inlineStr">
        <is>
          <t>Gestão de pessoas</t>
        </is>
      </c>
      <c r="D9" s="9" t="inlineStr">
        <is>
          <t>Perda de conhecimento crítico e de pessoal-chave na transição</t>
        </is>
      </c>
      <c r="E9" s="9" t="inlineStr">
        <is>
          <t>Exoneração ou saída de dirigentes e ocupantes de cargos de confiança; falta de documentação dos processos</t>
        </is>
      </c>
      <c r="F9" s="9" t="inlineStr">
        <is>
          <t>Descontinuidade de rotinas; erros na tomada de decisão; atraso em entregas</t>
        </is>
      </c>
      <c r="G9" s="9" t="inlineStr">
        <is>
          <t>Ofício 02/2026 item 6 (recursos humanos); Regimento (SUPGEP)</t>
        </is>
      </c>
      <c r="H9" s="10" t="inlineStr">
        <is>
          <t>A levantar com a área</t>
        </is>
      </c>
      <c r="I9" s="11" t="n">
        <v>3</v>
      </c>
      <c r="J9" s="11" t="n">
        <v>3</v>
      </c>
      <c r="K9" s="8">
        <f>I9*J9</f>
        <v/>
      </c>
      <c r="L9" s="8">
        <f>IF(K9&gt;=17,"Extremo",IF(K9&gt;=10,"Elevado",IF(K9&gt;=5,"Médio","Baixo")))</f>
        <v/>
      </c>
      <c r="M9" s="11" t="inlineStr">
        <is>
          <t>Mitigar</t>
        </is>
      </c>
      <c r="N9" s="9" t="inlineStr">
        <is>
          <t>Mapear posições críticas; documentar rotinas e passar o conhecimento antes da transição</t>
        </is>
      </c>
      <c r="O9" s="10" t="inlineStr">
        <is>
          <t>SUPGEP</t>
        </is>
      </c>
      <c r="P9" s="10" t="inlineStr">
        <is>
          <t>A definir</t>
        </is>
      </c>
      <c r="Q9" s="8" t="inlineStr">
        <is>
          <t>Proposta</t>
        </is>
      </c>
    </row>
    <row r="10" ht="95" customHeight="1">
      <c r="A10" s="8" t="inlineStr">
        <is>
          <t>R07</t>
        </is>
      </c>
      <c r="B10" s="9" t="inlineStr">
        <is>
          <t>Operacional</t>
        </is>
      </c>
      <c r="C10" s="9" t="inlineStr">
        <is>
          <t>Tecnologia da informação</t>
        </is>
      </c>
      <c r="D10" s="9" t="inlineStr">
        <is>
          <t>Falha, indisponibilidade ou acesso indevido a sistemas de informação, inclusive SEI-RJ e SIGA-RJ</t>
        </is>
      </c>
      <c r="E10" s="9" t="inlineStr">
        <is>
          <t>Mudança de perfis de acesso; backups e contingência insuficientes</t>
        </is>
      </c>
      <c r="F10" s="9" t="inlineStr">
        <is>
          <t>Perda de dados e de registros; paralisação de processos</t>
        </is>
      </c>
      <c r="G10" s="9" t="inlineStr">
        <is>
          <t>Ofício 02/2026 item 4 e item 6; Política, art. 23, III (Riscos Operacionais)</t>
        </is>
      </c>
      <c r="H10" s="10" t="inlineStr">
        <is>
          <t>A levantar com a área</t>
        </is>
      </c>
      <c r="I10" s="11" t="n">
        <v>2</v>
      </c>
      <c r="J10" s="11" t="n">
        <v>4</v>
      </c>
      <c r="K10" s="8">
        <f>I10*J10</f>
        <v/>
      </c>
      <c r="L10" s="8">
        <f>IF(K10&gt;=17,"Extremo",IF(K10&gt;=10,"Elevado",IF(K10&gt;=5,"Médio","Baixo")))</f>
        <v/>
      </c>
      <c r="M10" s="11" t="inlineStr">
        <is>
          <t>Mitigar</t>
        </is>
      </c>
      <c r="N10" s="9" t="inlineStr">
        <is>
          <t>Inventariar sistemas e contratos associados; revisar perfis de acesso; testar backup e restauração</t>
        </is>
      </c>
      <c r="O10" s="10" t="inlineStr">
        <is>
          <t>GERTIN</t>
        </is>
      </c>
      <c r="P10" s="10" t="inlineStr">
        <is>
          <t>A definir</t>
        </is>
      </c>
      <c r="Q10" s="8" t="inlineStr">
        <is>
          <t>Proposta</t>
        </is>
      </c>
    </row>
    <row r="11" ht="95" customHeight="1">
      <c r="A11" s="8" t="inlineStr">
        <is>
          <t>R08</t>
        </is>
      </c>
      <c r="B11" s="9" t="inlineStr">
        <is>
          <t>Operacional</t>
        </is>
      </c>
      <c r="C11" s="9" t="inlineStr">
        <is>
          <t>Planos de contingência</t>
        </is>
      </c>
      <c r="D11" s="9" t="inlineStr">
        <is>
          <t>Ausência ou desatualização de planos de contingência dos principais processos de trabalho</t>
        </is>
      </c>
      <c r="E11" s="9" t="inlineStr">
        <is>
          <t>Processos ainda não mapeados ou revistos; falta de definição das condições mínimas de operação</t>
        </is>
      </c>
      <c r="F11" s="9" t="inlineStr">
        <is>
          <t>Resposta lenta a incidentes; interrupção de serviços essenciais</t>
        </is>
      </c>
      <c r="G11" s="9" t="inlineStr">
        <is>
          <t>Regimento, art. 18, XXI; Ofício 07/2026; Ofício 08/2026 itens 1 e 5</t>
        </is>
      </c>
      <c r="H11" s="10" t="inlineStr">
        <is>
          <t>A levantar com a área</t>
        </is>
      </c>
      <c r="I11" s="11" t="n">
        <v>4</v>
      </c>
      <c r="J11" s="11" t="n">
        <v>3</v>
      </c>
      <c r="K11" s="8">
        <f>I11*J11</f>
        <v/>
      </c>
      <c r="L11" s="8">
        <f>IF(K11&gt;=17,"Extremo",IF(K11&gt;=10,"Elevado",IF(K11&gt;=5,"Médio","Baixo")))</f>
        <v/>
      </c>
      <c r="M11" s="11" t="inlineStr">
        <is>
          <t>Mitigar</t>
        </is>
      </c>
      <c r="N11" s="9" t="inlineStr">
        <is>
          <t>Identificar os processos essenciais, definir condições mínimas de operação e responsáveis pelos planos de contingência</t>
        </is>
      </c>
      <c r="O11" s="10" t="inlineStr">
        <is>
          <t>ASSGER / áreas gestoras</t>
        </is>
      </c>
      <c r="P11" s="10" t="inlineStr">
        <is>
          <t>A definir</t>
        </is>
      </c>
      <c r="Q11" s="8" t="inlineStr">
        <is>
          <t>Proposta</t>
        </is>
      </c>
    </row>
    <row r="12" ht="95" customHeight="1">
      <c r="A12" s="8" t="inlineStr">
        <is>
          <t>R09</t>
        </is>
      </c>
      <c r="B12" s="9" t="inlineStr">
        <is>
          <t>Operacional</t>
        </is>
      </c>
      <c r="C12" s="9" t="inlineStr">
        <is>
          <t>Obras e manutenção</t>
        </is>
      </c>
      <c r="D12" s="9" t="inlineStr">
        <is>
          <t>Atraso, paralisação ou deficiência na manutenção e na conclusão de obras e intervenções</t>
        </is>
      </c>
      <c r="E12" s="9" t="inlineStr">
        <is>
          <t>Contratos vencendo; restrição financeira; pendências de licenciamento</t>
        </is>
      </c>
      <c r="F12" s="9" t="inlineStr">
        <is>
          <t>Prejuízo à operação do transporte sobre trilhos; custos de retomada</t>
        </is>
      </c>
      <c r="G12" s="9" t="inlineStr">
        <is>
          <t>Estatuto, art. 3º; Ofício 02/2026 item 3; Ofício 08/2026 item 3</t>
        </is>
      </c>
      <c r="H12" s="10" t="inlineStr">
        <is>
          <t>A levantar com a área</t>
        </is>
      </c>
      <c r="I12" s="11" t="n">
        <v>3</v>
      </c>
      <c r="J12" s="11" t="n">
        <v>4</v>
      </c>
      <c r="K12" s="8">
        <f>I12*J12</f>
        <v/>
      </c>
      <c r="L12" s="8">
        <f>IF(K12&gt;=17,"Extremo",IF(K12&gt;=10,"Elevado",IF(K12&gt;=5,"Médio","Baixo")))</f>
        <v/>
      </c>
      <c r="M12" s="11" t="inlineStr">
        <is>
          <t>Mitigar</t>
        </is>
      </c>
      <c r="N12" s="9" t="inlineStr">
        <is>
          <t>Consolidar estágio, medição e compromissos remanescentes; definir prioridades e riscos à continuidade</t>
        </is>
      </c>
      <c r="O12" s="10" t="inlineStr">
        <is>
          <t>SUPVIP / ASSPRIN</t>
        </is>
      </c>
      <c r="P12" s="10" t="inlineStr">
        <is>
          <t>A definir</t>
        </is>
      </c>
      <c r="Q12" s="8" t="inlineStr">
        <is>
          <t>Proposta</t>
        </is>
      </c>
    </row>
    <row r="13" ht="95" customHeight="1">
      <c r="A13" s="8" t="inlineStr">
        <is>
          <t>R10</t>
        </is>
      </c>
      <c r="B13" s="9" t="inlineStr">
        <is>
          <t>Operacional</t>
        </is>
      </c>
      <c r="C13" s="9" t="inlineStr">
        <is>
          <t>Patrimônio</t>
        </is>
      </c>
      <c r="D13" s="9" t="inlineStr">
        <is>
          <t>Inconsistência no inventário e na regularização de bens e imóveis</t>
        </is>
      </c>
      <c r="E13" s="9" t="inlineStr">
        <is>
          <t>Registros desatualizados; transferências a terceiros sem formalização</t>
        </is>
      </c>
      <c r="F13" s="9" t="inlineStr">
        <is>
          <t>Perda patrimonial; apontamentos de controle</t>
        </is>
      </c>
      <c r="G13" s="9" t="inlineStr">
        <is>
          <t>Regimento, art. 18, VIII; Ofício 02/2026 item 6 (patrimônio)</t>
        </is>
      </c>
      <c r="H13" s="10" t="inlineStr">
        <is>
          <t>A levantar com a área</t>
        </is>
      </c>
      <c r="I13" s="11" t="n">
        <v>3</v>
      </c>
      <c r="J13" s="11" t="n">
        <v>3</v>
      </c>
      <c r="K13" s="8">
        <f>I13*J13</f>
        <v/>
      </c>
      <c r="L13" s="8">
        <f>IF(K13&gt;=17,"Extremo",IF(K13&gt;=10,"Elevado",IF(K13&gt;=5,"Médio","Baixo")))</f>
        <v/>
      </c>
      <c r="M13" s="11" t="inlineStr">
        <is>
          <t>Mitigar</t>
        </is>
      </c>
      <c r="N13" s="9" t="inlineStr">
        <is>
          <t>Conferir o inventário patrimonial e a documentação dos imóveis; tratar pendências de regularização</t>
        </is>
      </c>
      <c r="O13" s="10" t="inlineStr">
        <is>
          <t>SUPAT</t>
        </is>
      </c>
      <c r="P13" s="10" t="inlineStr">
        <is>
          <t>A definir</t>
        </is>
      </c>
      <c r="Q13" s="8" t="inlineStr">
        <is>
          <t>Proposta</t>
        </is>
      </c>
    </row>
    <row r="14" ht="95" customHeight="1">
      <c r="A14" s="8" t="inlineStr">
        <is>
          <t>R11</t>
        </is>
      </c>
      <c r="B14" s="9" t="inlineStr">
        <is>
          <t>Regulamentar</t>
        </is>
      </c>
      <c r="C14" s="9" t="inlineStr">
        <is>
          <t>Órgãos de controle</t>
        </is>
      </c>
      <c r="D14" s="9" t="inlineStr">
        <is>
          <t>Não atendimento de recomendações, determinações e prazos de órgãos de controle (TCE-RJ, TCU, CGE)</t>
        </is>
      </c>
      <c r="E14" s="9" t="inlineStr">
        <is>
          <t>Falta de controle central dos prazos; troca de responsáveis na transição</t>
        </is>
      </c>
      <c r="F14" s="9" t="inlineStr">
        <is>
          <t>Sanções; multas; responsabilização de dirigentes</t>
        </is>
      </c>
      <c r="G14" s="9" t="inlineStr">
        <is>
          <t>Ofício 07/2026; Regimento, art. 18, VII e XXII</t>
        </is>
      </c>
      <c r="H14" s="10" t="inlineStr">
        <is>
          <t>A levantar com a área</t>
        </is>
      </c>
      <c r="I14" s="11" t="n">
        <v>3</v>
      </c>
      <c r="J14" s="11" t="n">
        <v>4</v>
      </c>
      <c r="K14" s="8">
        <f>I14*J14</f>
        <v/>
      </c>
      <c r="L14" s="8">
        <f>IF(K14&gt;=17,"Extremo",IF(K14&gt;=10,"Elevado",IF(K14&gt;=5,"Médio","Baixo")))</f>
        <v/>
      </c>
      <c r="M14" s="11" t="inlineStr">
        <is>
          <t>Mitigar</t>
        </is>
      </c>
      <c r="N14" s="9" t="inlineStr">
        <is>
          <t>Consolidar as pendências e os prazos num quadro único, com responsável por item (em conjunto com o item 7 do ofício)</t>
        </is>
      </c>
      <c r="O14" s="10" t="inlineStr">
        <is>
          <t>ASSGER / ASSJUR / AUD</t>
        </is>
      </c>
      <c r="P14" s="10" t="inlineStr">
        <is>
          <t>A definir</t>
        </is>
      </c>
      <c r="Q14" s="8" t="inlineStr">
        <is>
          <t>Proposta</t>
        </is>
      </c>
    </row>
    <row r="15" ht="95" customHeight="1">
      <c r="A15" s="8" t="inlineStr">
        <is>
          <t>R12</t>
        </is>
      </c>
      <c r="B15" s="9" t="inlineStr">
        <is>
          <t>Regulamentar</t>
        </is>
      </c>
      <c r="C15" s="9" t="inlineStr">
        <is>
          <t>Conformidade legal</t>
        </is>
      </c>
      <c r="D15" s="9" t="inlineStr">
        <is>
          <t>Não conformidade com a Lei nº 13.303/2016 e o Decreto nº 46.188/2017 (licitações, governança, divulgação, relatório anual)</t>
        </is>
      </c>
      <c r="E15" s="9" t="inlineStr">
        <is>
          <t>Normas internas desatualizadas; falta de verificação de aderência</t>
        </is>
      </c>
      <c r="F15" s="9" t="inlineStr">
        <is>
          <t>Sanções; nulidade de atos; perda de reputação</t>
        </is>
      </c>
      <c r="G15" s="9" t="inlineStr">
        <is>
          <t>Estatuto, art. 1º; Regimento, art. 18, III, VI, XVII e XVIII; Política, art. 23, III (Riscos Regulamentares)</t>
        </is>
      </c>
      <c r="H15" s="10" t="inlineStr">
        <is>
          <t>A levantar com a área</t>
        </is>
      </c>
      <c r="I15" s="11" t="n">
        <v>2</v>
      </c>
      <c r="J15" s="11" t="n">
        <v>4</v>
      </c>
      <c r="K15" s="8">
        <f>I15*J15</f>
        <v/>
      </c>
      <c r="L15" s="8">
        <f>IF(K15&gt;=17,"Extremo",IF(K15&gt;=10,"Elevado",IF(K15&gt;=5,"Médio","Baixo")))</f>
        <v/>
      </c>
      <c r="M15" s="11" t="inlineStr">
        <is>
          <t>Mitigar</t>
        </is>
      </c>
      <c r="N15" s="9" t="inlineStr">
        <is>
          <t>Verificar a aderência das normas internas e dos processos; manter o Relatório Anual de Governança em dia</t>
        </is>
      </c>
      <c r="O15" s="10" t="inlineStr">
        <is>
          <t>ASSGER</t>
        </is>
      </c>
      <c r="P15" s="10" t="inlineStr">
        <is>
          <t>A definir</t>
        </is>
      </c>
      <c r="Q15" s="8" t="inlineStr">
        <is>
          <t>Proposta</t>
        </is>
      </c>
    </row>
    <row r="16" ht="95" customHeight="1">
      <c r="A16" s="8" t="inlineStr">
        <is>
          <t>R13</t>
        </is>
      </c>
      <c r="B16" s="9" t="inlineStr">
        <is>
          <t>Regulamentar</t>
        </is>
      </c>
      <c r="C16" s="9" t="inlineStr">
        <is>
          <t>Passivo judicial e administrativo</t>
        </is>
      </c>
      <c r="D16" s="9" t="inlineStr">
        <is>
          <t>Bloqueios financeiros e obrigações decorrentes de ações judiciais, precatórios e RPVs</t>
        </is>
      </c>
      <c r="E16" s="9" t="inlineStr">
        <is>
          <t>Condenações em ações em curso; falta de provisionamento</t>
        </is>
      </c>
      <c r="F16" s="9" t="inlineStr">
        <is>
          <t>Impacto de caixa; descontinuidade de pagamentos</t>
        </is>
      </c>
      <c r="G16" s="9" t="inlineStr">
        <is>
          <t>Ofício 07/2026 (mapa de ações judiciais; precatórios e RPVs)</t>
        </is>
      </c>
      <c r="H16" s="10" t="inlineStr">
        <is>
          <t>A levantar com a área</t>
        </is>
      </c>
      <c r="I16" s="11" t="n">
        <v>3</v>
      </c>
      <c r="J16" s="11" t="n">
        <v>4</v>
      </c>
      <c r="K16" s="8">
        <f>I16*J16</f>
        <v/>
      </c>
      <c r="L16" s="8">
        <f>IF(K16&gt;=17,"Extremo",IF(K16&gt;=10,"Elevado",IF(K16&gt;=5,"Médio","Baixo")))</f>
        <v/>
      </c>
      <c r="M16" s="11" t="inlineStr">
        <is>
          <t>Mitigar</t>
        </is>
      </c>
      <c r="N16" s="9" t="inlineStr">
        <is>
          <t>Interface com a ASSJUR: incorporar ao quadro os riscos do mapa de ações com potencial de bloqueio</t>
        </is>
      </c>
      <c r="O16" s="10" t="inlineStr">
        <is>
          <t>ASSJUR</t>
        </is>
      </c>
      <c r="P16" s="10" t="inlineStr">
        <is>
          <t>A definir</t>
        </is>
      </c>
      <c r="Q16" s="8" t="inlineStr">
        <is>
          <t>Proposta</t>
        </is>
      </c>
    </row>
    <row r="17" ht="95" customHeight="1">
      <c r="A17" s="8" t="inlineStr">
        <is>
          <t>R14</t>
        </is>
      </c>
      <c r="B17" s="9" t="inlineStr">
        <is>
          <t>Integridade</t>
        </is>
      </c>
      <c r="C17" s="9" t="inlineStr">
        <is>
          <t>Integridade e ética</t>
        </is>
      </c>
      <c r="D17" s="9" t="inlineStr">
        <is>
          <t>Fraude, desvio de conduta ou conflito de interesses em contratações, convênios e demais processos</t>
        </is>
      </c>
      <c r="E17" s="9" t="inlineStr">
        <is>
          <t>Controles insuficientes; pressão em período de transição; segregação de funções frágil</t>
        </is>
      </c>
      <c r="F17" s="9" t="inlineStr">
        <is>
          <t>Dano ao erário; sanções; dano à imagem</t>
        </is>
      </c>
      <c r="G17" s="9" t="inlineStr">
        <is>
          <t>Regimento, art. 18, IX, X, XV e XXIV; Política, art. 23, III (Riscos de Integridade)</t>
        </is>
      </c>
      <c r="H17" s="10" t="inlineStr">
        <is>
          <t>A levantar com a área</t>
        </is>
      </c>
      <c r="I17" s="11" t="n">
        <v>2</v>
      </c>
      <c r="J17" s="11" t="n">
        <v>5</v>
      </c>
      <c r="K17" s="8">
        <f>I17*J17</f>
        <v/>
      </c>
      <c r="L17" s="8">
        <f>IF(K17&gt;=17,"Extremo",IF(K17&gt;=10,"Elevado",IF(K17&gt;=5,"Médio","Baixo")))</f>
        <v/>
      </c>
      <c r="M17" s="11" t="inlineStr">
        <is>
          <t>Mitigar</t>
        </is>
      </c>
      <c r="N17" s="9" t="inlineStr">
        <is>
          <t>Reforçar controles e comunicação do Programa de Integridade; revisar situações de conflito de interesses</t>
        </is>
      </c>
      <c r="O17" s="10" t="inlineStr">
        <is>
          <t>ASSGER / Comitê de Ética e Compliance</t>
        </is>
      </c>
      <c r="P17" s="10" t="inlineStr">
        <is>
          <t>A definir</t>
        </is>
      </c>
      <c r="Q17" s="8" t="inlineStr">
        <is>
          <t>Proposta</t>
        </is>
      </c>
    </row>
    <row r="18" ht="95" customHeight="1">
      <c r="A18" s="8" t="inlineStr">
        <is>
          <t>R15</t>
        </is>
      </c>
      <c r="B18" s="9" t="inlineStr">
        <is>
          <t>Estratégico</t>
        </is>
      </c>
      <c r="C18" s="9" t="inlineStr">
        <is>
          <t>Informação e transparência</t>
        </is>
      </c>
      <c r="D18" s="9" t="inlineStr">
        <is>
          <t>Fornecimento de informações inconsistentes, incompletas ou fora do prazo à Equipe de Transição</t>
        </is>
      </c>
      <c r="E18" s="9" t="inlineStr">
        <is>
          <t>Dados dispersos entre as áreas; prazo curto; ausência de data-base única</t>
        </is>
      </c>
      <c r="F18" s="9" t="inlineStr">
        <is>
          <t>Decisões equivocadas do novo governo; questionamento da gestão</t>
        </is>
      </c>
      <c r="G18" s="9" t="inlineStr">
        <is>
          <t>Ofício SETRAM/GABSEC nº 838/2026 (prazo 28/10/2026); Regimento, art. 18, I</t>
        </is>
      </c>
      <c r="H18" s="10" t="inlineStr">
        <is>
          <t>A levantar com a área</t>
        </is>
      </c>
      <c r="I18" s="11" t="n">
        <v>3</v>
      </c>
      <c r="J18" s="11" t="n">
        <v>3</v>
      </c>
      <c r="K18" s="8">
        <f>I18*J18</f>
        <v/>
      </c>
      <c r="L18" s="8">
        <f>IF(K18&gt;=17,"Extremo",IF(K18&gt;=10,"Elevado",IF(K18&gt;=5,"Médio","Baixo")))</f>
        <v/>
      </c>
      <c r="M18" s="11" t="inlineStr">
        <is>
          <t>Mitigar</t>
        </is>
      </c>
      <c r="N18" s="9" t="inlineStr">
        <is>
          <t>Padronizar a data-base; validar os dados com as áreas antes do envio; manter registro das fontes</t>
        </is>
      </c>
      <c r="O18" s="10" t="inlineStr">
        <is>
          <t>ASSGER / PRESI</t>
        </is>
      </c>
      <c r="P18" s="10" t="inlineStr">
        <is>
          <t>A definir</t>
        </is>
      </c>
      <c r="Q18" s="8" t="inlineStr">
        <is>
          <t>Proposta</t>
        </is>
      </c>
    </row>
  </sheetData>
  <autoFilter ref="A3:Q18"/>
  <conditionalFormatting sqref="L4:L18">
    <cfRule type="cellIs" priority="1" operator="equal" dxfId="0">
      <formula>"Baixo"</formula>
    </cfRule>
    <cfRule type="cellIs" priority="2" operator="equal" dxfId="1">
      <formula>"Médio"</formula>
    </cfRule>
    <cfRule type="cellIs" priority="3" operator="equal" dxfId="2">
      <formula>"Elevado"</formula>
    </cfRule>
    <cfRule type="cellIs" priority="4" operator="equal" dxfId="3">
      <formula>"Extremo"</formula>
    </cfRule>
  </conditionalFormatting>
  <dataValidations count="4">
    <dataValidation sqref="I4:I48 J4:J48" showDropDown="0" showInputMessage="0" showErrorMessage="1" allowBlank="0" error="Informe de 1 a 5" type="whole" operator="between">
      <formula1>1</formula1>
      <formula2>5</formula2>
    </dataValidation>
    <dataValidation sqref="M4:M48" showDropDown="0" showInputMessage="0" showErrorMessage="0" allowBlank="0" type="list">
      <formula1>"Evitar,Mitigar,Transferir,Aceitar"</formula1>
    </dataValidation>
    <dataValidation sqref="B4:B48" showDropDown="0" showInputMessage="0" showErrorMessage="0" allowBlank="0" type="list">
      <formula1>"Estratégico,Financeiro,Operacional,Regulamentar,Integridade"</formula1>
    </dataValidation>
    <dataValidation sqref="Q4:Q48" showDropDown="0" showInputMessage="0" showErrorMessage="0" allowBlank="0" type="list">
      <formula1>"Proposta,Validado,Em tratamento,Encerrado"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80" customWidth="1" min="3" max="3"/>
  </cols>
  <sheetData>
    <row r="1">
      <c r="A1" s="12" t="n"/>
    </row>
    <row r="3">
      <c r="A3" s="12" t="inlineStr">
        <is>
          <t>Escala de impacto</t>
        </is>
      </c>
    </row>
    <row r="4">
      <c r="A4" s="7" t="inlineStr">
        <is>
          <t>Valor</t>
        </is>
      </c>
      <c r="B4" s="7" t="inlineStr">
        <is>
          <t>Classificação</t>
        </is>
      </c>
      <c r="C4" s="7" t="inlineStr">
        <is>
          <t>Descrição</t>
        </is>
      </c>
    </row>
    <row r="5">
      <c r="A5" s="9" t="n">
        <v>1</v>
      </c>
      <c r="B5" s="9" t="inlineStr">
        <is>
          <t>Muito baixo</t>
        </is>
      </c>
      <c r="C5" s="9" t="inlineStr">
        <is>
          <t>Efeito desprezível, absorvido na rotina</t>
        </is>
      </c>
    </row>
    <row r="6">
      <c r="A6" s="9" t="n">
        <v>2</v>
      </c>
      <c r="B6" s="9" t="inlineStr">
        <is>
          <t>Baixo</t>
        </is>
      </c>
      <c r="C6" s="9" t="inlineStr">
        <is>
          <t>Retrabalho ou atraso pontual, sem efeito na operação</t>
        </is>
      </c>
    </row>
    <row r="7">
      <c r="A7" s="9" t="n">
        <v>3</v>
      </c>
      <c r="B7" s="9" t="inlineStr">
        <is>
          <t>Médio</t>
        </is>
      </c>
      <c r="C7" s="9" t="inlineStr">
        <is>
          <t>Atraso relevante de entregas ou exposição a questionamento de órgão de controle</t>
        </is>
      </c>
    </row>
    <row r="8">
      <c r="A8" s="9" t="n">
        <v>4</v>
      </c>
      <c r="B8" s="9" t="inlineStr">
        <is>
          <t>Alto</t>
        </is>
      </c>
      <c r="C8" s="9" t="inlineStr">
        <is>
          <t>Interrupção parcial de atividade essencial, perda financeira relevante ou sanção</t>
        </is>
      </c>
    </row>
    <row r="9">
      <c r="A9" s="9" t="n">
        <v>5</v>
      </c>
      <c r="B9" s="9" t="inlineStr">
        <is>
          <t>Muito alto</t>
        </is>
      </c>
      <c r="C9" s="9" t="inlineStr">
        <is>
          <t>Interrupção de atividade essencial, dano grave à imagem ou responsabilização de dirigentes</t>
        </is>
      </c>
    </row>
    <row r="12">
      <c r="A12" s="12" t="inlineStr">
        <is>
          <t>Escala de probabilidade (detalhe)</t>
        </is>
      </c>
    </row>
    <row r="13">
      <c r="A13" s="7" t="inlineStr">
        <is>
          <t>Valor</t>
        </is>
      </c>
      <c r="B13" s="7" t="inlineStr">
        <is>
          <t>Classificação</t>
        </is>
      </c>
      <c r="C13" s="7" t="inlineStr">
        <is>
          <t>Descrição</t>
        </is>
      </c>
    </row>
    <row r="14">
      <c r="A14" s="9" t="n">
        <v>1</v>
      </c>
      <c r="B14" s="9" t="inlineStr">
        <is>
          <t>Muito baixa</t>
        </is>
      </c>
      <c r="C14" s="9" t="inlineStr">
        <is>
          <t>Ocorrência improvável; sem histórico</t>
        </is>
      </c>
    </row>
    <row r="15">
      <c r="A15" s="9" t="n">
        <v>2</v>
      </c>
      <c r="B15" s="9" t="inlineStr">
        <is>
          <t>Baixa</t>
        </is>
      </c>
      <c r="C15" s="9" t="inlineStr">
        <is>
          <t>Pode ocorrer em circunstâncias excepcionais</t>
        </is>
      </c>
    </row>
    <row r="16">
      <c r="A16" s="9" t="n">
        <v>3</v>
      </c>
      <c r="B16" s="9" t="inlineStr">
        <is>
          <t>Média</t>
        </is>
      </c>
      <c r="C16" s="9" t="inlineStr">
        <is>
          <t>Pode ocorrer; há histórico ou indício</t>
        </is>
      </c>
    </row>
    <row r="17">
      <c r="A17" s="9" t="n">
        <v>4</v>
      </c>
      <c r="B17" s="9" t="inlineStr">
        <is>
          <t>Alta</t>
        </is>
      </c>
      <c r="C17" s="9" t="inlineStr">
        <is>
          <t>Provável de ocorrer no horizonte da transição (até abr/2027)</t>
        </is>
      </c>
    </row>
    <row r="18">
      <c r="A18" s="9" t="n">
        <v>5</v>
      </c>
      <c r="B18" s="9" t="inlineStr">
        <is>
          <t>Muito alta</t>
        </is>
      </c>
      <c r="C18" s="9" t="inlineStr">
        <is>
          <t>Ocorrência esperada ou já em curso</t>
        </is>
      </c>
    </row>
    <row r="21">
      <c r="A21" s="12" t="inlineStr">
        <is>
          <t>Nível de risco = Probabilidade × Impacto (art. 25, IV da Política)</t>
        </is>
      </c>
    </row>
    <row r="22">
      <c r="A22" s="13" t="inlineStr">
        <is>
          <t>Nível</t>
        </is>
      </c>
      <c r="B22" s="13" t="inlineStr">
        <is>
          <t>Score</t>
        </is>
      </c>
      <c r="C22" s="13" t="inlineStr">
        <is>
          <t>Tratamento sugerido</t>
        </is>
      </c>
    </row>
    <row r="23">
      <c r="A23" s="14" t="inlineStr">
        <is>
          <t>Baixo</t>
        </is>
      </c>
      <c r="B23" s="9" t="inlineStr">
        <is>
          <t>1 a 4</t>
        </is>
      </c>
      <c r="C23" s="9" t="inlineStr">
        <is>
          <t>Aceitar ou monitorar</t>
        </is>
      </c>
    </row>
    <row r="24">
      <c r="A24" s="15" t="inlineStr">
        <is>
          <t>Médio</t>
        </is>
      </c>
      <c r="B24" s="9" t="inlineStr">
        <is>
          <t>5 a 9</t>
        </is>
      </c>
      <c r="C24" s="9" t="inlineStr">
        <is>
          <t>Mitigar com plano de ação da área gestora</t>
        </is>
      </c>
    </row>
    <row r="25">
      <c r="A25" s="16" t="inlineStr">
        <is>
          <t>Elevado</t>
        </is>
      </c>
      <c r="B25" s="9" t="inlineStr">
        <is>
          <t>10 a 16</t>
        </is>
      </c>
      <c r="C25" s="9" t="inlineStr">
        <is>
          <t>Plano de ação prioritário</t>
        </is>
      </c>
    </row>
    <row r="26">
      <c r="A26" s="17" t="inlineStr">
        <is>
          <t>Extremo</t>
        </is>
      </c>
      <c r="B26" s="9" t="inlineStr">
        <is>
          <t>17 a 25</t>
        </is>
      </c>
      <c r="C26" s="9" t="inlineStr">
        <is>
          <t>Plano de ação submetido à Diretoria Executiva (art. 27, III)</t>
        </is>
      </c>
    </row>
    <row r="28">
      <c r="A28" t="inlineStr">
        <is>
          <t>Categorias (art. 23, III): Estratégico · Financeiro · Operacional · Regulamentar · Integridade</t>
        </is>
      </c>
    </row>
    <row r="29">
      <c r="A29" t="inlineStr">
        <is>
          <t>Tratamento (arts. 21 e 26): Evitar · Mitigar · Transferir · Aceitar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9" max="9"/>
  </cols>
  <sheetData>
    <row r="1">
      <c r="A1" s="5" t="inlineStr">
        <is>
          <t>MATRIZ DE RISCOS (nº de riscos por célula e nível)</t>
        </is>
      </c>
    </row>
    <row r="2">
      <c r="A2" t="inlineStr">
        <is>
          <t>Atualiza sozinha a partir da aba 'Quadro de Riscos'.</t>
        </is>
      </c>
    </row>
    <row r="4">
      <c r="B4" s="18" t="inlineStr">
        <is>
          <t>IMPACTO</t>
        </is>
      </c>
      <c r="C4" s="19" t="inlineStr">
        <is>
          <t>IMPACTO →</t>
        </is>
      </c>
      <c r="I4" s="18" t="inlineStr">
        <is>
          <t>Resumo por nível</t>
        </is>
      </c>
    </row>
    <row r="5">
      <c r="A5" s="18" t="inlineStr">
        <is>
          <t>PROBABILIDADE ↓</t>
        </is>
      </c>
      <c r="C5" s="20" t="n">
        <v>1</v>
      </c>
      <c r="D5" s="20" t="n">
        <v>2</v>
      </c>
      <c r="E5" s="20" t="n">
        <v>3</v>
      </c>
      <c r="F5" s="20" t="n">
        <v>4</v>
      </c>
      <c r="G5" s="20" t="n">
        <v>5</v>
      </c>
      <c r="I5" s="21" t="inlineStr">
        <is>
          <t>Baixo</t>
        </is>
      </c>
      <c r="J5" s="8">
        <f>COUNTIF('Quadro de Riscos'!$L$4:$L$48,"Baixo")</f>
        <v/>
      </c>
    </row>
    <row r="6" ht="36" customHeight="1">
      <c r="B6" s="20" t="n">
        <v>5</v>
      </c>
      <c r="C6" s="22">
        <f>COUNTIFS('Quadro de Riscos'!$I$4:$I$48,5,'Quadro de Riscos'!$J$4:$J$48,1)</f>
        <v/>
      </c>
      <c r="D6" s="23">
        <f>COUNTIFS('Quadro de Riscos'!$I$4:$I$48,5,'Quadro de Riscos'!$J$4:$J$48,2)</f>
        <v/>
      </c>
      <c r="E6" s="23">
        <f>COUNTIFS('Quadro de Riscos'!$I$4:$I$48,5,'Quadro de Riscos'!$J$4:$J$48,3)</f>
        <v/>
      </c>
      <c r="F6" s="24">
        <f>COUNTIFS('Quadro de Riscos'!$I$4:$I$48,5,'Quadro de Riscos'!$J$4:$J$48,4)</f>
        <v/>
      </c>
      <c r="G6" s="24">
        <f>COUNTIFS('Quadro de Riscos'!$I$4:$I$48,5,'Quadro de Riscos'!$J$4:$J$48,5)</f>
        <v/>
      </c>
      <c r="I6" s="25" t="inlineStr">
        <is>
          <t>Médio</t>
        </is>
      </c>
      <c r="J6" s="8">
        <f>COUNTIF('Quadro de Riscos'!$L$4:$L$48,"Médio")</f>
        <v/>
      </c>
    </row>
    <row r="7" ht="36" customHeight="1">
      <c r="B7" s="20" t="n">
        <v>4</v>
      </c>
      <c r="C7" s="26">
        <f>COUNTIFS('Quadro de Riscos'!$I$4:$I$48,4,'Quadro de Riscos'!$J$4:$J$48,1)</f>
        <v/>
      </c>
      <c r="D7" s="22">
        <f>COUNTIFS('Quadro de Riscos'!$I$4:$I$48,4,'Quadro de Riscos'!$J$4:$J$48,2)</f>
        <v/>
      </c>
      <c r="E7" s="23">
        <f>COUNTIFS('Quadro de Riscos'!$I$4:$I$48,4,'Quadro de Riscos'!$J$4:$J$48,3)</f>
        <v/>
      </c>
      <c r="F7" s="23">
        <f>COUNTIFS('Quadro de Riscos'!$I$4:$I$48,4,'Quadro de Riscos'!$J$4:$J$48,4)</f>
        <v/>
      </c>
      <c r="G7" s="24">
        <f>COUNTIFS('Quadro de Riscos'!$I$4:$I$48,4,'Quadro de Riscos'!$J$4:$J$48,5)</f>
        <v/>
      </c>
      <c r="I7" s="27" t="inlineStr">
        <is>
          <t>Elevado</t>
        </is>
      </c>
      <c r="J7" s="8">
        <f>COUNTIF('Quadro de Riscos'!$L$4:$L$48,"Elevado")</f>
        <v/>
      </c>
    </row>
    <row r="8" ht="36" customHeight="1">
      <c r="B8" s="20" t="n">
        <v>3</v>
      </c>
      <c r="C8" s="26">
        <f>COUNTIFS('Quadro de Riscos'!$I$4:$I$48,3,'Quadro de Riscos'!$J$4:$J$48,1)</f>
        <v/>
      </c>
      <c r="D8" s="22">
        <f>COUNTIFS('Quadro de Riscos'!$I$4:$I$48,3,'Quadro de Riscos'!$J$4:$J$48,2)</f>
        <v/>
      </c>
      <c r="E8" s="22">
        <f>COUNTIFS('Quadro de Riscos'!$I$4:$I$48,3,'Quadro de Riscos'!$J$4:$J$48,3)</f>
        <v/>
      </c>
      <c r="F8" s="23">
        <f>COUNTIFS('Quadro de Riscos'!$I$4:$I$48,3,'Quadro de Riscos'!$J$4:$J$48,4)</f>
        <v/>
      </c>
      <c r="G8" s="23">
        <f>COUNTIFS('Quadro de Riscos'!$I$4:$I$48,3,'Quadro de Riscos'!$J$4:$J$48,5)</f>
        <v/>
      </c>
      <c r="I8" s="28" t="inlineStr">
        <is>
          <t>Extremo</t>
        </is>
      </c>
      <c r="J8" s="8">
        <f>COUNTIF('Quadro de Riscos'!$L$4:$L$48,"Extremo")</f>
        <v/>
      </c>
    </row>
    <row r="9" ht="36" customHeight="1">
      <c r="B9" s="20" t="n">
        <v>2</v>
      </c>
      <c r="C9" s="26">
        <f>COUNTIFS('Quadro de Riscos'!$I$4:$I$48,2,'Quadro de Riscos'!$J$4:$J$48,1)</f>
        <v/>
      </c>
      <c r="D9" s="26">
        <f>COUNTIFS('Quadro de Riscos'!$I$4:$I$48,2,'Quadro de Riscos'!$J$4:$J$48,2)</f>
        <v/>
      </c>
      <c r="E9" s="22">
        <f>COUNTIFS('Quadro de Riscos'!$I$4:$I$48,2,'Quadro de Riscos'!$J$4:$J$48,3)</f>
        <v/>
      </c>
      <c r="F9" s="22">
        <f>COUNTIFS('Quadro de Riscos'!$I$4:$I$48,2,'Quadro de Riscos'!$J$4:$J$48,4)</f>
        <v/>
      </c>
      <c r="G9" s="23">
        <f>COUNTIFS('Quadro de Riscos'!$I$4:$I$48,2,'Quadro de Riscos'!$J$4:$J$48,5)</f>
        <v/>
      </c>
      <c r="I9" s="18" t="inlineStr">
        <is>
          <t>Total</t>
        </is>
      </c>
      <c r="J9" s="19">
        <f>SUM(J5:J8)</f>
        <v/>
      </c>
    </row>
    <row r="10" ht="36" customHeight="1">
      <c r="B10" s="20" t="n">
        <v>1</v>
      </c>
      <c r="C10" s="26">
        <f>COUNTIFS('Quadro de Riscos'!$I$4:$I$48,1,'Quadro de Riscos'!$J$4:$J$48,1)</f>
        <v/>
      </c>
      <c r="D10" s="26">
        <f>COUNTIFS('Quadro de Riscos'!$I$4:$I$48,1,'Quadro de Riscos'!$J$4:$J$48,2)</f>
        <v/>
      </c>
      <c r="E10" s="26">
        <f>COUNTIFS('Quadro de Riscos'!$I$4:$I$48,1,'Quadro de Riscos'!$J$4:$J$48,3)</f>
        <v/>
      </c>
      <c r="F10" s="26">
        <f>COUNTIFS('Quadro de Riscos'!$I$4:$I$48,1,'Quadro de Riscos'!$J$4:$J$48,4)</f>
        <v/>
      </c>
      <c r="G10" s="22">
        <f>COUNTIFS('Quadro de Riscos'!$I$4:$I$48,1,'Quadro de Riscos'!$J$4:$J$48,5)</f>
        <v/>
      </c>
    </row>
    <row r="11">
      <c r="I11" s="18" t="inlineStr">
        <is>
          <t>Por categoria</t>
        </is>
      </c>
    </row>
    <row r="12">
      <c r="I12" s="29" t="inlineStr">
        <is>
          <t>Estratégico</t>
        </is>
      </c>
      <c r="J12" s="8">
        <f>COUNTIF('Quadro de Riscos'!$B$4:$B$48,"Estratégico")</f>
        <v/>
      </c>
    </row>
    <row r="13">
      <c r="I13" s="29" t="inlineStr">
        <is>
          <t>Financeiro</t>
        </is>
      </c>
      <c r="J13" s="8">
        <f>COUNTIF('Quadro de Riscos'!$B$4:$B$48,"Financeiro")</f>
        <v/>
      </c>
    </row>
    <row r="14">
      <c r="I14" s="29" t="inlineStr">
        <is>
          <t>Operacional</t>
        </is>
      </c>
      <c r="J14" s="8">
        <f>COUNTIF('Quadro de Riscos'!$B$4:$B$48,"Operacional")</f>
        <v/>
      </c>
    </row>
    <row r="15">
      <c r="I15" s="29" t="inlineStr">
        <is>
          <t>Regulamentar</t>
        </is>
      </c>
      <c r="J15" s="8">
        <f>COUNTIF('Quadro de Riscos'!$B$4:$B$48,"Regulamentar")</f>
        <v/>
      </c>
    </row>
    <row r="16">
      <c r="I16" s="29" t="inlineStr">
        <is>
          <t>Integridade</t>
        </is>
      </c>
      <c r="J16" s="8">
        <f>COUNTIF('Quadro de Riscos'!$B$4:$B$48,"Integridade")</f>
        <v/>
      </c>
    </row>
  </sheetData>
  <mergeCells count="1">
    <mergeCell ref="C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2026-10-28T13:23:14Z</dcterms:created>
  <dcterms:modified xmlns:dcterms="http://purl.org/dc/terms/" xmlns:xsi="http://www.w3.org/2001/XMLSchema-instance" xsi:type="dcterms:W3CDTF">2026-10-28T13:23:14Z</dcterms:modified>
</cp:coreProperties>
</file>